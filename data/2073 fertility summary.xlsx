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Arthropod Genetics\Private\DaisyDrive\An stephensi\Experimental data\Fertility test\2073\"/>
    </mc:Choice>
  </mc:AlternateContent>
  <xr:revisionPtr revIDLastSave="0" documentId="13_ncr:1_{D43A08BF-FBA8-4090-BD74-4DF969809D7C}" xr6:coauthVersionLast="47" xr6:coauthVersionMax="47" xr10:uidLastSave="{00000000-0000-0000-0000-000000000000}"/>
  <bookViews>
    <workbookView xWindow="-120" yWindow="-120" windowWidth="29040" windowHeight="15840" activeTab="1" xr2:uid="{52FFA177-E0A6-476B-88E4-A6E720826C4A}"/>
  </bookViews>
  <sheets>
    <sheet name="Input data" sheetId="1" r:id="rId1"/>
    <sheet name="Data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2" l="1"/>
  <c r="F6" i="2" s="1"/>
  <c r="E5" i="2"/>
  <c r="F5" i="2" s="1"/>
  <c r="E4" i="2"/>
  <c r="F4" i="2" s="1"/>
  <c r="D4" i="2"/>
  <c r="E3" i="2"/>
  <c r="F3" i="2" s="1"/>
  <c r="E2" i="2"/>
  <c r="D6" i="2"/>
  <c r="D5" i="2"/>
  <c r="D3" i="2"/>
  <c r="D2" i="2"/>
  <c r="G3" i="2" s="1"/>
  <c r="I6" i="2" l="1"/>
  <c r="H3" i="2"/>
  <c r="F2" i="2"/>
  <c r="H4" i="2"/>
  <c r="H6" i="2"/>
  <c r="G6" i="2"/>
  <c r="G4" i="2"/>
  <c r="O196" i="1"/>
  <c r="O191" i="1"/>
  <c r="O175" i="1"/>
  <c r="O167" i="1"/>
  <c r="O160" i="1"/>
  <c r="O151" i="1"/>
  <c r="O142" i="1"/>
  <c r="O133" i="1"/>
  <c r="O125" i="1"/>
  <c r="O118" i="1"/>
  <c r="O108" i="1"/>
  <c r="O97" i="1"/>
  <c r="O89" i="1"/>
  <c r="O82" i="1"/>
  <c r="O66" i="1"/>
  <c r="O56" i="1"/>
  <c r="O43" i="1"/>
  <c r="O34" i="1"/>
  <c r="O26" i="1"/>
  <c r="O18" i="1"/>
  <c r="G152" i="1"/>
  <c r="G153" i="1"/>
  <c r="G110" i="1"/>
  <c r="G111" i="1"/>
  <c r="G79" i="1"/>
  <c r="G78" i="1"/>
  <c r="G77" i="1"/>
  <c r="G76" i="1"/>
  <c r="G75" i="1"/>
  <c r="G60" i="1"/>
  <c r="G62" i="1"/>
  <c r="G63" i="1"/>
  <c r="G64" i="1"/>
  <c r="G58" i="1"/>
  <c r="G57" i="1"/>
  <c r="G52" i="1"/>
  <c r="G53" i="1"/>
  <c r="G46" i="1"/>
  <c r="G35" i="1"/>
  <c r="G36" i="1"/>
  <c r="G38" i="1"/>
  <c r="G39" i="1"/>
  <c r="G40" i="1"/>
  <c r="G41" i="1"/>
  <c r="G42" i="1"/>
  <c r="G24" i="1"/>
  <c r="O10" i="1"/>
  <c r="G15" i="1"/>
  <c r="G16" i="1"/>
  <c r="G17" i="1"/>
  <c r="O2" i="1"/>
  <c r="G8" i="1"/>
  <c r="G6" i="1"/>
  <c r="G4" i="1"/>
  <c r="G5" i="1"/>
  <c r="G12" i="1"/>
  <c r="G13" i="1"/>
  <c r="G14" i="1"/>
  <c r="G18" i="1"/>
  <c r="G19" i="1"/>
  <c r="G20" i="1"/>
  <c r="G21" i="1"/>
  <c r="G23" i="1"/>
  <c r="G25" i="1"/>
  <c r="G26" i="1"/>
  <c r="G27" i="1"/>
  <c r="G29" i="1"/>
  <c r="G30" i="1"/>
  <c r="G31" i="1"/>
  <c r="G32" i="1"/>
  <c r="G33" i="1"/>
  <c r="G43" i="1"/>
  <c r="G44" i="1"/>
  <c r="G45" i="1"/>
  <c r="G48" i="1"/>
  <c r="G55" i="1"/>
  <c r="G56" i="1"/>
  <c r="G66" i="1"/>
  <c r="G67" i="1"/>
  <c r="G68" i="1"/>
  <c r="G70" i="1"/>
  <c r="G71" i="1"/>
  <c r="G72" i="1"/>
  <c r="G73" i="1"/>
  <c r="G74" i="1"/>
  <c r="G80" i="1"/>
  <c r="G81" i="1"/>
  <c r="G83" i="1"/>
  <c r="G86" i="1"/>
  <c r="G89" i="1"/>
  <c r="G90" i="1"/>
  <c r="G91" i="1"/>
  <c r="G92" i="1"/>
  <c r="G93" i="1"/>
  <c r="G94" i="1"/>
  <c r="G96" i="1"/>
  <c r="G97" i="1"/>
  <c r="G99" i="1"/>
  <c r="G101" i="1"/>
  <c r="G102" i="1"/>
  <c r="G103" i="1"/>
  <c r="G104" i="1"/>
  <c r="G105" i="1"/>
  <c r="G106" i="1"/>
  <c r="G107" i="1"/>
  <c r="G108" i="1"/>
  <c r="G112" i="1"/>
  <c r="G113" i="1"/>
  <c r="G114" i="1"/>
  <c r="G118" i="1"/>
  <c r="G119" i="1"/>
  <c r="G121" i="1"/>
  <c r="G122" i="1"/>
  <c r="G123" i="1"/>
  <c r="G128" i="1"/>
  <c r="G129" i="1"/>
  <c r="G134" i="1"/>
  <c r="G135" i="1"/>
  <c r="G140" i="1"/>
  <c r="G141" i="1"/>
  <c r="G143" i="1"/>
  <c r="G145" i="1"/>
  <c r="G146" i="1"/>
  <c r="G148" i="1"/>
  <c r="G149" i="1"/>
  <c r="G151" i="1"/>
  <c r="G158" i="1"/>
  <c r="G164" i="1"/>
  <c r="G165" i="1"/>
  <c r="G173" i="1"/>
  <c r="G180" i="1"/>
  <c r="G181" i="1"/>
  <c r="G184" i="1"/>
  <c r="G188" i="1"/>
  <c r="G195" i="1"/>
  <c r="G197" i="1"/>
  <c r="G199" i="1"/>
  <c r="G203" i="1"/>
  <c r="G3" i="1"/>
  <c r="G2" i="1"/>
  <c r="I4" i="2" l="1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tc={F645ABC7-D38B-45A7-A856-BC191EA7D5D8}</author>
  </authors>
  <commentList>
    <comment ref="E34" authorId="0" shapeId="0" xr:uid="{F645ABC7-D38B-45A7-A856-BC191EA7D5D8}">
      <text>
        <t>[Threaded comment]
Your version of Excel allows you to read this threaded comment; however, any edits to it will get removed if the file is opened in a newer version of Excel. Learn more: https://go.microsoft.com/fwlink/?linkid=870924
Comment:
    133 in lab noteook</t>
      </text>
    </comment>
  </commentList>
</comments>
</file>

<file path=xl/sharedStrings.xml><?xml version="1.0" encoding="utf-8"?>
<sst xmlns="http://schemas.openxmlformats.org/spreadsheetml/2006/main" count="222" uniqueCount="25">
  <si>
    <t>Cross</t>
  </si>
  <si>
    <t>Replicate</t>
  </si>
  <si>
    <t>Egg number</t>
  </si>
  <si>
    <t>WTxSDA-500</t>
  </si>
  <si>
    <t>SDA-500xWT</t>
  </si>
  <si>
    <t>HetxSDA-500</t>
  </si>
  <si>
    <t>SDA-500xHet</t>
  </si>
  <si>
    <t>HomxSDA-500</t>
  </si>
  <si>
    <t>Larvae number</t>
  </si>
  <si>
    <t>Percentage hatch rate</t>
  </si>
  <si>
    <t>Engorged female num</t>
  </si>
  <si>
    <t>Number that laid</t>
  </si>
  <si>
    <t>Percent</t>
  </si>
  <si>
    <t>Dead</t>
  </si>
  <si>
    <t>Half dead</t>
  </si>
  <si>
    <t>WTxSDA500</t>
  </si>
  <si>
    <t>HetsxSDA500</t>
  </si>
  <si>
    <t>HomsxSDA500</t>
  </si>
  <si>
    <t>SDA500xWT</t>
  </si>
  <si>
    <t>SDA500xHets</t>
  </si>
  <si>
    <t>SDA500xHoms</t>
  </si>
  <si>
    <t>Avg Eggs</t>
  </si>
  <si>
    <t>Fertility fitness cost</t>
  </si>
  <si>
    <t>Avg Larvae</t>
  </si>
  <si>
    <t>Hatching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</si>
</sst>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reia Larrosa Godall" id="{1F8F2B06-8BA9-4E2E-961B-5184F3D3D8C7}" userId="S::mireia.larrosa-godall@pirbright.ac.uk::222c30a2-ea1b-4a01-b59f-b0adba8590f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4" dT="2022-01-27T15:13:27.70" personId="{1F8F2B06-8BA9-4E2E-961B-5184F3D3D8C7}" id="{F645ABC7-D38B-45A7-A856-BC191EA7D5D8}">
    <text>133 in lab noteook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6FBE1-455E-46F8-AE52-FFDDFAB72410}">
  <dimension ref="A1:V203"/>
  <sheetViews>
    <sheetView topLeftCell="A161" workbookViewId="0">
      <selection activeCell="E200" sqref="E200"/>
    </sheetView>
  </sheetViews>
  <sheetFormatPr defaultRowHeight="15" x14ac:dyDescent="0.25"/>
  <cols>
    <col min="1" max="1" width="13.5703125" bestFit="1" customWidth="1"/>
    <col min="2" max="2" width="9.140625" style="2"/>
    <col min="22" max="22" width="9.42578125" bestFit="1" customWidth="1"/>
  </cols>
  <sheetData>
    <row r="1" spans="1:22" x14ac:dyDescent="0.25">
      <c r="A1" t="s">
        <v>0</v>
      </c>
      <c r="B1" s="2" t="s">
        <v>1</v>
      </c>
      <c r="C1" t="s">
        <v>2</v>
      </c>
      <c r="E1" t="s">
        <v>8</v>
      </c>
      <c r="G1" t="s">
        <v>9</v>
      </c>
      <c r="J1" t="s">
        <v>10</v>
      </c>
      <c r="M1" t="s">
        <v>11</v>
      </c>
      <c r="N1" s="1"/>
      <c r="O1" t="s">
        <v>12</v>
      </c>
    </row>
    <row r="2" spans="1:22" x14ac:dyDescent="0.25">
      <c r="A2" t="s">
        <v>3</v>
      </c>
      <c r="B2" s="2">
        <v>1</v>
      </c>
      <c r="C2">
        <v>121</v>
      </c>
      <c r="E2">
        <v>111</v>
      </c>
      <c r="G2">
        <f>E2/C2*100</f>
        <v>91.735537190082653</v>
      </c>
      <c r="J2">
        <v>8</v>
      </c>
      <c r="M2">
        <v>6</v>
      </c>
      <c r="N2" s="1"/>
      <c r="O2">
        <f>M2/J2*100</f>
        <v>75</v>
      </c>
      <c r="V2" s="4" t="s">
        <v>13</v>
      </c>
    </row>
    <row r="3" spans="1:22" x14ac:dyDescent="0.25">
      <c r="A3" t="s">
        <v>3</v>
      </c>
      <c r="B3" s="2">
        <v>1</v>
      </c>
      <c r="C3" s="3">
        <v>134</v>
      </c>
      <c r="E3">
        <v>116</v>
      </c>
      <c r="G3">
        <f>E3/C3*100</f>
        <v>86.567164179104466</v>
      </c>
      <c r="V3" s="3" t="s">
        <v>14</v>
      </c>
    </row>
    <row r="4" spans="1:22" x14ac:dyDescent="0.25">
      <c r="A4" t="s">
        <v>3</v>
      </c>
      <c r="B4" s="2">
        <v>1</v>
      </c>
      <c r="C4" s="3">
        <v>83</v>
      </c>
      <c r="E4">
        <v>0</v>
      </c>
      <c r="G4">
        <f t="shared" ref="G4:G98" si="0">E4/C4*100</f>
        <v>0</v>
      </c>
    </row>
    <row r="5" spans="1:22" x14ac:dyDescent="0.25">
      <c r="A5" t="s">
        <v>3</v>
      </c>
      <c r="B5" s="2">
        <v>1</v>
      </c>
      <c r="C5" s="3">
        <v>118</v>
      </c>
      <c r="E5">
        <v>92</v>
      </c>
      <c r="G5">
        <f t="shared" si="0"/>
        <v>77.966101694915253</v>
      </c>
    </row>
    <row r="6" spans="1:22" x14ac:dyDescent="0.25">
      <c r="A6" t="s">
        <v>3</v>
      </c>
      <c r="B6" s="2">
        <v>1</v>
      </c>
      <c r="C6" s="3">
        <v>81</v>
      </c>
      <c r="E6">
        <v>66</v>
      </c>
      <c r="G6">
        <f t="shared" si="0"/>
        <v>81.481481481481481</v>
      </c>
    </row>
    <row r="7" spans="1:22" x14ac:dyDescent="0.25">
      <c r="A7" t="s">
        <v>3</v>
      </c>
      <c r="B7" s="2">
        <v>1</v>
      </c>
      <c r="C7" s="3">
        <v>0</v>
      </c>
      <c r="E7">
        <v>0</v>
      </c>
      <c r="G7">
        <v>0</v>
      </c>
    </row>
    <row r="8" spans="1:22" x14ac:dyDescent="0.25">
      <c r="A8" t="s">
        <v>3</v>
      </c>
      <c r="B8" s="2">
        <v>1</v>
      </c>
      <c r="C8">
        <v>102</v>
      </c>
      <c r="E8">
        <v>88</v>
      </c>
      <c r="G8">
        <f t="shared" si="0"/>
        <v>86.274509803921575</v>
      </c>
    </row>
    <row r="9" spans="1:22" x14ac:dyDescent="0.25">
      <c r="A9" t="s">
        <v>3</v>
      </c>
      <c r="B9" s="2">
        <v>1</v>
      </c>
      <c r="C9" s="4">
        <v>0</v>
      </c>
    </row>
    <row r="10" spans="1:22" x14ac:dyDescent="0.25">
      <c r="A10" t="s">
        <v>3</v>
      </c>
      <c r="B10" s="2">
        <v>2</v>
      </c>
      <c r="C10" s="4">
        <v>0</v>
      </c>
      <c r="J10">
        <v>8</v>
      </c>
      <c r="M10">
        <v>6</v>
      </c>
      <c r="O10">
        <f>M10/J10*100</f>
        <v>75</v>
      </c>
    </row>
    <row r="11" spans="1:22" x14ac:dyDescent="0.25">
      <c r="A11" t="s">
        <v>3</v>
      </c>
      <c r="B11" s="2">
        <v>2</v>
      </c>
      <c r="C11">
        <v>0</v>
      </c>
    </row>
    <row r="12" spans="1:22" x14ac:dyDescent="0.25">
      <c r="A12" t="s">
        <v>3</v>
      </c>
      <c r="B12" s="2">
        <v>2</v>
      </c>
      <c r="C12">
        <v>217</v>
      </c>
      <c r="E12">
        <v>200</v>
      </c>
      <c r="G12">
        <f t="shared" si="0"/>
        <v>92.165898617511516</v>
      </c>
    </row>
    <row r="13" spans="1:22" x14ac:dyDescent="0.25">
      <c r="A13" t="s">
        <v>3</v>
      </c>
      <c r="B13" s="2">
        <v>2</v>
      </c>
      <c r="C13" s="3">
        <v>147</v>
      </c>
      <c r="E13">
        <v>106</v>
      </c>
      <c r="G13">
        <f t="shared" si="0"/>
        <v>72.10884353741497</v>
      </c>
    </row>
    <row r="14" spans="1:22" x14ac:dyDescent="0.25">
      <c r="A14" t="s">
        <v>3</v>
      </c>
      <c r="B14" s="2">
        <v>2</v>
      </c>
      <c r="C14" s="3">
        <v>153</v>
      </c>
      <c r="E14">
        <v>128</v>
      </c>
      <c r="G14">
        <f t="shared" si="0"/>
        <v>83.66013071895425</v>
      </c>
    </row>
    <row r="15" spans="1:22" x14ac:dyDescent="0.25">
      <c r="A15" t="s">
        <v>3</v>
      </c>
      <c r="B15" s="2">
        <v>2</v>
      </c>
      <c r="C15" s="3">
        <v>146</v>
      </c>
      <c r="E15">
        <v>123</v>
      </c>
      <c r="G15">
        <f t="shared" si="0"/>
        <v>84.246575342465761</v>
      </c>
    </row>
    <row r="16" spans="1:22" x14ac:dyDescent="0.25">
      <c r="A16" t="s">
        <v>3</v>
      </c>
      <c r="B16" s="2">
        <v>2</v>
      </c>
      <c r="C16">
        <v>88</v>
      </c>
      <c r="E16">
        <v>147</v>
      </c>
      <c r="G16">
        <f t="shared" si="0"/>
        <v>167.04545454545453</v>
      </c>
    </row>
    <row r="17" spans="1:15" x14ac:dyDescent="0.25">
      <c r="A17" t="s">
        <v>3</v>
      </c>
      <c r="B17" s="2">
        <v>2</v>
      </c>
      <c r="C17">
        <v>169</v>
      </c>
      <c r="E17">
        <v>148</v>
      </c>
      <c r="G17">
        <f t="shared" si="0"/>
        <v>87.57396449704143</v>
      </c>
    </row>
    <row r="18" spans="1:15" x14ac:dyDescent="0.25">
      <c r="A18" t="s">
        <v>3</v>
      </c>
      <c r="B18" s="2">
        <v>3</v>
      </c>
      <c r="C18">
        <v>75</v>
      </c>
      <c r="E18">
        <v>0</v>
      </c>
      <c r="G18">
        <f t="shared" si="0"/>
        <v>0</v>
      </c>
      <c r="J18">
        <v>8</v>
      </c>
      <c r="M18">
        <v>7</v>
      </c>
      <c r="O18">
        <f>M18/J18*100</f>
        <v>87.5</v>
      </c>
    </row>
    <row r="19" spans="1:15" x14ac:dyDescent="0.25">
      <c r="A19" t="s">
        <v>3</v>
      </c>
      <c r="B19" s="2">
        <v>3</v>
      </c>
      <c r="C19">
        <v>84</v>
      </c>
      <c r="E19">
        <v>14</v>
      </c>
      <c r="G19">
        <f t="shared" si="0"/>
        <v>16.666666666666664</v>
      </c>
    </row>
    <row r="20" spans="1:15" x14ac:dyDescent="0.25">
      <c r="A20" t="s">
        <v>3</v>
      </c>
      <c r="B20" s="2">
        <v>3</v>
      </c>
      <c r="C20" s="4">
        <v>160</v>
      </c>
      <c r="E20">
        <v>135</v>
      </c>
      <c r="G20">
        <f t="shared" si="0"/>
        <v>84.375</v>
      </c>
    </row>
    <row r="21" spans="1:15" x14ac:dyDescent="0.25">
      <c r="A21" t="s">
        <v>3</v>
      </c>
      <c r="B21" s="2">
        <v>3</v>
      </c>
      <c r="C21" s="4">
        <v>126</v>
      </c>
      <c r="E21">
        <v>107</v>
      </c>
      <c r="G21">
        <f t="shared" si="0"/>
        <v>84.920634920634924</v>
      </c>
    </row>
    <row r="22" spans="1:15" x14ac:dyDescent="0.25">
      <c r="A22" t="s">
        <v>3</v>
      </c>
      <c r="B22" s="2">
        <v>3</v>
      </c>
      <c r="C22" s="4">
        <v>0</v>
      </c>
    </row>
    <row r="23" spans="1:15" x14ac:dyDescent="0.25">
      <c r="A23" t="s">
        <v>3</v>
      </c>
      <c r="B23" s="2">
        <v>3</v>
      </c>
      <c r="C23" s="4">
        <v>123</v>
      </c>
      <c r="E23">
        <v>111</v>
      </c>
      <c r="G23">
        <f t="shared" si="0"/>
        <v>90.243902439024396</v>
      </c>
    </row>
    <row r="24" spans="1:15" x14ac:dyDescent="0.25">
      <c r="A24" t="s">
        <v>3</v>
      </c>
      <c r="B24" s="2">
        <v>3</v>
      </c>
      <c r="C24" s="3">
        <v>68</v>
      </c>
      <c r="E24">
        <v>0</v>
      </c>
      <c r="G24">
        <f t="shared" si="0"/>
        <v>0</v>
      </c>
    </row>
    <row r="25" spans="1:15" x14ac:dyDescent="0.25">
      <c r="A25" t="s">
        <v>3</v>
      </c>
      <c r="B25" s="2">
        <v>3</v>
      </c>
      <c r="C25" s="4">
        <v>199</v>
      </c>
      <c r="E25">
        <v>160</v>
      </c>
      <c r="G25">
        <f t="shared" si="0"/>
        <v>80.402010050251263</v>
      </c>
    </row>
    <row r="26" spans="1:15" x14ac:dyDescent="0.25">
      <c r="A26" t="s">
        <v>3</v>
      </c>
      <c r="B26" s="2">
        <v>4</v>
      </c>
      <c r="C26" s="4">
        <v>144</v>
      </c>
      <c r="E26">
        <v>131</v>
      </c>
      <c r="G26">
        <f t="shared" si="0"/>
        <v>90.972222222222214</v>
      </c>
      <c r="J26">
        <v>8</v>
      </c>
      <c r="M26" s="5">
        <v>7</v>
      </c>
      <c r="O26">
        <f t="shared" ref="O26" si="1">M26/J26*100</f>
        <v>87.5</v>
      </c>
    </row>
    <row r="27" spans="1:15" x14ac:dyDescent="0.25">
      <c r="A27" t="s">
        <v>3</v>
      </c>
      <c r="B27" s="2">
        <v>4</v>
      </c>
      <c r="C27">
        <v>151</v>
      </c>
      <c r="E27">
        <v>55</v>
      </c>
      <c r="G27">
        <f t="shared" si="0"/>
        <v>36.423841059602644</v>
      </c>
    </row>
    <row r="28" spans="1:15" x14ac:dyDescent="0.25">
      <c r="A28" t="s">
        <v>3</v>
      </c>
      <c r="B28" s="2">
        <v>4</v>
      </c>
      <c r="C28" s="4">
        <v>0</v>
      </c>
    </row>
    <row r="29" spans="1:15" x14ac:dyDescent="0.25">
      <c r="A29" t="s">
        <v>3</v>
      </c>
      <c r="B29" s="2">
        <v>4</v>
      </c>
      <c r="C29">
        <v>145</v>
      </c>
      <c r="E29">
        <v>130</v>
      </c>
      <c r="G29">
        <f t="shared" si="0"/>
        <v>89.65517241379311</v>
      </c>
    </row>
    <row r="30" spans="1:15" x14ac:dyDescent="0.25">
      <c r="A30" s="1" t="s">
        <v>3</v>
      </c>
      <c r="B30" s="2">
        <v>4</v>
      </c>
      <c r="C30" s="1">
        <v>112</v>
      </c>
      <c r="E30">
        <v>97</v>
      </c>
      <c r="G30">
        <f t="shared" si="0"/>
        <v>86.607142857142861</v>
      </c>
    </row>
    <row r="31" spans="1:15" x14ac:dyDescent="0.25">
      <c r="A31" s="1" t="s">
        <v>3</v>
      </c>
      <c r="B31" s="2">
        <v>4</v>
      </c>
      <c r="C31" s="1">
        <v>124</v>
      </c>
      <c r="E31">
        <v>111</v>
      </c>
      <c r="G31">
        <f t="shared" si="0"/>
        <v>89.516129032258064</v>
      </c>
    </row>
    <row r="32" spans="1:15" x14ac:dyDescent="0.25">
      <c r="A32" s="1" t="s">
        <v>3</v>
      </c>
      <c r="B32" s="2">
        <v>4</v>
      </c>
      <c r="C32" s="4">
        <v>172</v>
      </c>
      <c r="E32">
        <v>0</v>
      </c>
      <c r="G32">
        <f t="shared" si="0"/>
        <v>0</v>
      </c>
    </row>
    <row r="33" spans="1:15" x14ac:dyDescent="0.25">
      <c r="A33" s="1" t="s">
        <v>3</v>
      </c>
      <c r="B33" s="2">
        <v>4</v>
      </c>
      <c r="C33" s="3">
        <v>79</v>
      </c>
      <c r="E33">
        <v>72</v>
      </c>
      <c r="G33">
        <f>E33/C33*100</f>
        <v>91.139240506329116</v>
      </c>
    </row>
    <row r="34" spans="1:15" x14ac:dyDescent="0.25">
      <c r="A34" s="1" t="s">
        <v>3</v>
      </c>
      <c r="B34" s="2">
        <v>5</v>
      </c>
      <c r="C34" s="4">
        <v>0</v>
      </c>
      <c r="J34">
        <v>9</v>
      </c>
      <c r="M34">
        <v>7</v>
      </c>
      <c r="O34">
        <f t="shared" ref="O34" si="2">M34/J34*100</f>
        <v>77.777777777777786</v>
      </c>
    </row>
    <row r="35" spans="1:15" x14ac:dyDescent="0.25">
      <c r="A35" s="1" t="s">
        <v>3</v>
      </c>
      <c r="B35" s="2">
        <v>5</v>
      </c>
      <c r="C35" s="4">
        <v>145</v>
      </c>
      <c r="E35">
        <v>62</v>
      </c>
      <c r="G35">
        <f t="shared" ref="G35:G42" si="3">E35/C35*100</f>
        <v>42.758620689655174</v>
      </c>
    </row>
    <row r="36" spans="1:15" x14ac:dyDescent="0.25">
      <c r="A36" s="1" t="s">
        <v>3</v>
      </c>
      <c r="B36" s="2">
        <v>5</v>
      </c>
      <c r="C36" s="3">
        <v>153</v>
      </c>
      <c r="E36">
        <v>122</v>
      </c>
      <c r="G36">
        <f t="shared" si="3"/>
        <v>79.738562091503269</v>
      </c>
    </row>
    <row r="37" spans="1:15" x14ac:dyDescent="0.25">
      <c r="A37" s="1" t="s">
        <v>3</v>
      </c>
      <c r="B37" s="2">
        <v>5</v>
      </c>
      <c r="C37" s="4">
        <v>0</v>
      </c>
    </row>
    <row r="38" spans="1:15" x14ac:dyDescent="0.25">
      <c r="A38" s="1" t="s">
        <v>3</v>
      </c>
      <c r="B38" s="2">
        <v>5</v>
      </c>
      <c r="C38" s="1">
        <v>138</v>
      </c>
      <c r="E38">
        <v>133</v>
      </c>
      <c r="G38">
        <f t="shared" si="3"/>
        <v>96.376811594202891</v>
      </c>
    </row>
    <row r="39" spans="1:15" x14ac:dyDescent="0.25">
      <c r="A39" s="1" t="s">
        <v>3</v>
      </c>
      <c r="B39" s="2">
        <v>5</v>
      </c>
      <c r="C39" s="4">
        <v>208</v>
      </c>
      <c r="E39">
        <v>174</v>
      </c>
      <c r="G39">
        <f t="shared" si="3"/>
        <v>83.65384615384616</v>
      </c>
    </row>
    <row r="40" spans="1:15" x14ac:dyDescent="0.25">
      <c r="A40" s="1" t="s">
        <v>3</v>
      </c>
      <c r="B40" s="2">
        <v>5</v>
      </c>
      <c r="C40" s="4">
        <v>181</v>
      </c>
      <c r="E40">
        <v>147</v>
      </c>
      <c r="G40">
        <f t="shared" si="3"/>
        <v>81.215469613259671</v>
      </c>
    </row>
    <row r="41" spans="1:15" x14ac:dyDescent="0.25">
      <c r="A41" s="1" t="s">
        <v>3</v>
      </c>
      <c r="B41" s="2">
        <v>5</v>
      </c>
      <c r="C41" s="4">
        <v>101</v>
      </c>
      <c r="E41">
        <v>71</v>
      </c>
      <c r="G41">
        <f t="shared" si="3"/>
        <v>70.297029702970292</v>
      </c>
    </row>
    <row r="42" spans="1:15" x14ac:dyDescent="0.25">
      <c r="A42" s="1" t="s">
        <v>3</v>
      </c>
      <c r="B42" s="2">
        <v>5</v>
      </c>
      <c r="C42" s="1">
        <v>125</v>
      </c>
      <c r="E42">
        <v>31</v>
      </c>
      <c r="G42">
        <f t="shared" si="3"/>
        <v>24.8</v>
      </c>
    </row>
    <row r="43" spans="1:15" x14ac:dyDescent="0.25">
      <c r="A43" t="s">
        <v>4</v>
      </c>
      <c r="B43" s="2">
        <v>1</v>
      </c>
      <c r="C43">
        <v>141</v>
      </c>
      <c r="E43">
        <v>123</v>
      </c>
      <c r="G43">
        <f t="shared" si="0"/>
        <v>87.2340425531915</v>
      </c>
      <c r="J43">
        <v>5</v>
      </c>
      <c r="M43">
        <v>4</v>
      </c>
      <c r="O43">
        <f t="shared" ref="O43" si="4">M43/J43*100</f>
        <v>80</v>
      </c>
    </row>
    <row r="44" spans="1:15" x14ac:dyDescent="0.25">
      <c r="A44" t="s">
        <v>4</v>
      </c>
      <c r="B44" s="2">
        <v>1</v>
      </c>
      <c r="C44" s="4">
        <v>70</v>
      </c>
      <c r="E44">
        <v>60</v>
      </c>
      <c r="G44">
        <f t="shared" si="0"/>
        <v>85.714285714285708</v>
      </c>
    </row>
    <row r="45" spans="1:15" x14ac:dyDescent="0.25">
      <c r="A45" t="s">
        <v>4</v>
      </c>
      <c r="B45" s="2">
        <v>1</v>
      </c>
      <c r="C45">
        <v>92</v>
      </c>
      <c r="E45">
        <v>78</v>
      </c>
      <c r="G45">
        <f t="shared" si="0"/>
        <v>84.782608695652172</v>
      </c>
    </row>
    <row r="46" spans="1:15" x14ac:dyDescent="0.25">
      <c r="A46" t="s">
        <v>4</v>
      </c>
      <c r="B46" s="2">
        <v>1</v>
      </c>
      <c r="C46">
        <v>77</v>
      </c>
      <c r="E46">
        <v>69</v>
      </c>
      <c r="G46">
        <f t="shared" si="0"/>
        <v>89.610389610389603</v>
      </c>
    </row>
    <row r="47" spans="1:15" x14ac:dyDescent="0.25">
      <c r="A47" t="s">
        <v>4</v>
      </c>
      <c r="B47" s="2">
        <v>1</v>
      </c>
      <c r="C47">
        <v>0</v>
      </c>
    </row>
    <row r="48" spans="1:15" x14ac:dyDescent="0.25">
      <c r="A48" t="s">
        <v>4</v>
      </c>
      <c r="B48" s="2">
        <v>2</v>
      </c>
      <c r="C48">
        <v>101</v>
      </c>
      <c r="E48">
        <v>88</v>
      </c>
      <c r="G48">
        <f t="shared" si="0"/>
        <v>87.128712871287135</v>
      </c>
      <c r="J48">
        <v>8</v>
      </c>
      <c r="M48">
        <v>4</v>
      </c>
      <c r="O48">
        <v>50</v>
      </c>
    </row>
    <row r="49" spans="1:15" x14ac:dyDescent="0.25">
      <c r="A49" t="s">
        <v>4</v>
      </c>
      <c r="B49" s="2">
        <v>2</v>
      </c>
      <c r="C49" s="4">
        <v>0</v>
      </c>
    </row>
    <row r="50" spans="1:15" x14ac:dyDescent="0.25">
      <c r="A50" t="s">
        <v>4</v>
      </c>
      <c r="B50" s="2">
        <v>2</v>
      </c>
      <c r="C50" s="4">
        <v>0</v>
      </c>
    </row>
    <row r="51" spans="1:15" x14ac:dyDescent="0.25">
      <c r="A51" t="s">
        <v>4</v>
      </c>
      <c r="B51" s="2">
        <v>2</v>
      </c>
      <c r="C51">
        <v>0</v>
      </c>
    </row>
    <row r="52" spans="1:15" x14ac:dyDescent="0.25">
      <c r="A52" t="s">
        <v>4</v>
      </c>
      <c r="B52" s="2">
        <v>2</v>
      </c>
      <c r="C52" s="4">
        <v>99</v>
      </c>
      <c r="E52">
        <v>44</v>
      </c>
      <c r="G52">
        <f t="shared" si="0"/>
        <v>44.444444444444443</v>
      </c>
    </row>
    <row r="53" spans="1:15" x14ac:dyDescent="0.25">
      <c r="A53" t="s">
        <v>4</v>
      </c>
      <c r="B53" s="2">
        <v>2</v>
      </c>
      <c r="C53" s="4">
        <v>76</v>
      </c>
      <c r="E53">
        <v>38</v>
      </c>
      <c r="G53">
        <f t="shared" si="0"/>
        <v>50</v>
      </c>
    </row>
    <row r="54" spans="1:15" x14ac:dyDescent="0.25">
      <c r="A54" t="s">
        <v>4</v>
      </c>
      <c r="B54" s="2">
        <v>2</v>
      </c>
      <c r="C54" s="3">
        <v>0</v>
      </c>
      <c r="E54">
        <v>0</v>
      </c>
      <c r="G54">
        <v>0</v>
      </c>
    </row>
    <row r="55" spans="1:15" x14ac:dyDescent="0.25">
      <c r="A55" t="s">
        <v>4</v>
      </c>
      <c r="B55" s="2">
        <v>2</v>
      </c>
      <c r="C55" s="4">
        <v>34</v>
      </c>
      <c r="E55">
        <v>18</v>
      </c>
      <c r="G55">
        <f t="shared" si="0"/>
        <v>52.941176470588239</v>
      </c>
    </row>
    <row r="56" spans="1:15" x14ac:dyDescent="0.25">
      <c r="A56" t="s">
        <v>4</v>
      </c>
      <c r="B56" s="2">
        <v>3</v>
      </c>
      <c r="C56">
        <v>212</v>
      </c>
      <c r="E56">
        <v>175</v>
      </c>
      <c r="G56">
        <f t="shared" si="0"/>
        <v>82.547169811320757</v>
      </c>
      <c r="J56">
        <v>10</v>
      </c>
      <c r="M56">
        <v>7</v>
      </c>
      <c r="O56">
        <f t="shared" ref="O56" si="5">M56/J56*100</f>
        <v>70</v>
      </c>
    </row>
    <row r="57" spans="1:15" x14ac:dyDescent="0.25">
      <c r="A57" t="s">
        <v>4</v>
      </c>
      <c r="B57" s="2">
        <v>3</v>
      </c>
      <c r="C57" s="3">
        <v>134</v>
      </c>
      <c r="E57">
        <v>119</v>
      </c>
      <c r="G57">
        <f t="shared" si="0"/>
        <v>88.805970149253739</v>
      </c>
    </row>
    <row r="58" spans="1:15" x14ac:dyDescent="0.25">
      <c r="A58" t="s">
        <v>4</v>
      </c>
      <c r="B58" s="2">
        <v>3</v>
      </c>
      <c r="C58" s="1">
        <v>175</v>
      </c>
      <c r="E58">
        <v>146</v>
      </c>
      <c r="G58">
        <f t="shared" si="0"/>
        <v>83.428571428571431</v>
      </c>
    </row>
    <row r="59" spans="1:15" x14ac:dyDescent="0.25">
      <c r="A59" t="s">
        <v>4</v>
      </c>
      <c r="B59" s="2">
        <v>3</v>
      </c>
      <c r="C59" s="4">
        <v>0</v>
      </c>
    </row>
    <row r="60" spans="1:15" x14ac:dyDescent="0.25">
      <c r="A60" t="s">
        <v>4</v>
      </c>
      <c r="B60" s="2">
        <v>3</v>
      </c>
      <c r="C60" s="1">
        <v>104</v>
      </c>
      <c r="E60">
        <v>98</v>
      </c>
      <c r="G60">
        <f t="shared" si="0"/>
        <v>94.230769230769226</v>
      </c>
    </row>
    <row r="61" spans="1:15" x14ac:dyDescent="0.25">
      <c r="A61" t="s">
        <v>4</v>
      </c>
      <c r="B61" s="2">
        <v>3</v>
      </c>
      <c r="C61" s="4">
        <v>0</v>
      </c>
    </row>
    <row r="62" spans="1:15" x14ac:dyDescent="0.25">
      <c r="A62" t="s">
        <v>4</v>
      </c>
      <c r="B62" s="2">
        <v>3</v>
      </c>
      <c r="C62" s="4">
        <v>150</v>
      </c>
      <c r="E62">
        <v>135</v>
      </c>
      <c r="G62">
        <f t="shared" si="0"/>
        <v>90</v>
      </c>
    </row>
    <row r="63" spans="1:15" x14ac:dyDescent="0.25">
      <c r="A63" t="s">
        <v>4</v>
      </c>
      <c r="B63" s="2">
        <v>3</v>
      </c>
      <c r="C63" s="1">
        <v>98</v>
      </c>
      <c r="E63">
        <v>94</v>
      </c>
      <c r="G63">
        <f t="shared" si="0"/>
        <v>95.918367346938766</v>
      </c>
    </row>
    <row r="64" spans="1:15" x14ac:dyDescent="0.25">
      <c r="A64" t="s">
        <v>4</v>
      </c>
      <c r="B64" s="2">
        <v>3</v>
      </c>
      <c r="C64">
        <v>120</v>
      </c>
      <c r="E64">
        <v>113</v>
      </c>
      <c r="G64">
        <f t="shared" si="0"/>
        <v>94.166666666666671</v>
      </c>
    </row>
    <row r="65" spans="1:15" x14ac:dyDescent="0.25">
      <c r="A65" t="s">
        <v>4</v>
      </c>
      <c r="B65" s="2">
        <v>3</v>
      </c>
      <c r="C65" s="4">
        <v>0</v>
      </c>
    </row>
    <row r="66" spans="1:15" x14ac:dyDescent="0.25">
      <c r="A66" t="s">
        <v>4</v>
      </c>
      <c r="B66" s="2">
        <v>4</v>
      </c>
      <c r="C66">
        <v>134</v>
      </c>
      <c r="E66">
        <v>121</v>
      </c>
      <c r="G66">
        <f t="shared" si="0"/>
        <v>90.298507462686572</v>
      </c>
      <c r="J66">
        <v>8</v>
      </c>
      <c r="M66">
        <v>7</v>
      </c>
      <c r="O66">
        <f t="shared" ref="O66" si="6">M66/J66*100</f>
        <v>87.5</v>
      </c>
    </row>
    <row r="67" spans="1:15" x14ac:dyDescent="0.25">
      <c r="A67" t="s">
        <v>4</v>
      </c>
      <c r="B67" s="2">
        <v>4</v>
      </c>
      <c r="C67">
        <v>108</v>
      </c>
      <c r="E67">
        <v>94</v>
      </c>
      <c r="G67">
        <f t="shared" si="0"/>
        <v>87.037037037037038</v>
      </c>
    </row>
    <row r="68" spans="1:15" x14ac:dyDescent="0.25">
      <c r="A68" t="s">
        <v>4</v>
      </c>
      <c r="B68" s="2">
        <v>4</v>
      </c>
      <c r="C68">
        <v>138</v>
      </c>
      <c r="E68">
        <v>131</v>
      </c>
      <c r="G68">
        <f t="shared" si="0"/>
        <v>94.927536231884062</v>
      </c>
    </row>
    <row r="69" spans="1:15" x14ac:dyDescent="0.25">
      <c r="A69" t="s">
        <v>4</v>
      </c>
      <c r="B69" s="2">
        <v>4</v>
      </c>
      <c r="C69" s="4">
        <v>0</v>
      </c>
    </row>
    <row r="70" spans="1:15" x14ac:dyDescent="0.25">
      <c r="A70" t="s">
        <v>4</v>
      </c>
      <c r="B70" s="2">
        <v>4</v>
      </c>
      <c r="C70">
        <v>120</v>
      </c>
      <c r="E70">
        <v>67</v>
      </c>
      <c r="G70">
        <f t="shared" si="0"/>
        <v>55.833333333333336</v>
      </c>
    </row>
    <row r="71" spans="1:15" x14ac:dyDescent="0.25">
      <c r="A71" t="s">
        <v>4</v>
      </c>
      <c r="B71" s="2">
        <v>4</v>
      </c>
      <c r="C71" s="3">
        <v>70</v>
      </c>
      <c r="E71">
        <v>0</v>
      </c>
      <c r="G71">
        <f t="shared" si="0"/>
        <v>0</v>
      </c>
    </row>
    <row r="72" spans="1:15" x14ac:dyDescent="0.25">
      <c r="A72" t="s">
        <v>4</v>
      </c>
      <c r="B72" s="2">
        <v>4</v>
      </c>
      <c r="C72" s="3">
        <v>172</v>
      </c>
      <c r="E72">
        <v>153</v>
      </c>
      <c r="G72">
        <f t="shared" si="0"/>
        <v>88.95348837209302</v>
      </c>
    </row>
    <row r="73" spans="1:15" x14ac:dyDescent="0.25">
      <c r="A73" t="s">
        <v>4</v>
      </c>
      <c r="B73" s="2">
        <v>4</v>
      </c>
      <c r="C73" s="4">
        <v>163</v>
      </c>
      <c r="E73">
        <v>98</v>
      </c>
      <c r="G73">
        <f t="shared" si="0"/>
        <v>60.122699386503065</v>
      </c>
    </row>
    <row r="74" spans="1:15" x14ac:dyDescent="0.25">
      <c r="A74" t="s">
        <v>4</v>
      </c>
      <c r="B74" s="2">
        <v>5</v>
      </c>
      <c r="C74">
        <v>157</v>
      </c>
      <c r="E74">
        <v>132</v>
      </c>
      <c r="G74">
        <f t="shared" si="0"/>
        <v>84.076433121019107</v>
      </c>
      <c r="J74">
        <v>8</v>
      </c>
      <c r="M74">
        <v>8</v>
      </c>
      <c r="O74">
        <v>100</v>
      </c>
    </row>
    <row r="75" spans="1:15" x14ac:dyDescent="0.25">
      <c r="A75" t="s">
        <v>4</v>
      </c>
      <c r="B75" s="2">
        <v>5</v>
      </c>
      <c r="C75">
        <v>182</v>
      </c>
      <c r="E75">
        <v>152</v>
      </c>
      <c r="G75">
        <f t="shared" si="0"/>
        <v>83.516483516483518</v>
      </c>
    </row>
    <row r="76" spans="1:15" x14ac:dyDescent="0.25">
      <c r="A76" t="s">
        <v>4</v>
      </c>
      <c r="B76" s="2">
        <v>5</v>
      </c>
      <c r="C76" s="4">
        <v>174</v>
      </c>
      <c r="E76">
        <v>2</v>
      </c>
      <c r="G76">
        <f t="shared" si="0"/>
        <v>1.1494252873563218</v>
      </c>
    </row>
    <row r="77" spans="1:15" x14ac:dyDescent="0.25">
      <c r="A77" t="s">
        <v>4</v>
      </c>
      <c r="B77" s="2">
        <v>5</v>
      </c>
      <c r="C77" s="3">
        <v>98</v>
      </c>
      <c r="E77">
        <v>0</v>
      </c>
      <c r="G77">
        <f t="shared" si="0"/>
        <v>0</v>
      </c>
    </row>
    <row r="78" spans="1:15" x14ac:dyDescent="0.25">
      <c r="A78" t="s">
        <v>4</v>
      </c>
      <c r="B78" s="2">
        <v>5</v>
      </c>
      <c r="C78" s="3">
        <v>99</v>
      </c>
      <c r="E78">
        <v>7</v>
      </c>
      <c r="G78">
        <f t="shared" si="0"/>
        <v>7.0707070707070701</v>
      </c>
    </row>
    <row r="79" spans="1:15" x14ac:dyDescent="0.25">
      <c r="A79" t="s">
        <v>4</v>
      </c>
      <c r="B79" s="2">
        <v>5</v>
      </c>
      <c r="C79" s="4">
        <v>58</v>
      </c>
      <c r="E79">
        <v>54</v>
      </c>
      <c r="G79">
        <f t="shared" si="0"/>
        <v>93.103448275862064</v>
      </c>
    </row>
    <row r="80" spans="1:15" x14ac:dyDescent="0.25">
      <c r="A80" t="s">
        <v>4</v>
      </c>
      <c r="B80" s="2">
        <v>5</v>
      </c>
      <c r="C80" s="3">
        <v>142</v>
      </c>
      <c r="E80">
        <v>135</v>
      </c>
      <c r="G80">
        <f t="shared" si="0"/>
        <v>95.070422535211264</v>
      </c>
    </row>
    <row r="81" spans="1:15" x14ac:dyDescent="0.25">
      <c r="A81" t="s">
        <v>4</v>
      </c>
      <c r="B81" s="2">
        <v>5</v>
      </c>
      <c r="C81" s="4">
        <v>146</v>
      </c>
      <c r="E81">
        <v>133</v>
      </c>
      <c r="G81">
        <f t="shared" si="0"/>
        <v>91.095890410958901</v>
      </c>
    </row>
    <row r="82" spans="1:15" x14ac:dyDescent="0.25">
      <c r="A82" t="s">
        <v>5</v>
      </c>
      <c r="B82" s="2">
        <v>1</v>
      </c>
      <c r="C82" s="4">
        <v>0</v>
      </c>
      <c r="J82">
        <v>7</v>
      </c>
      <c r="M82">
        <v>2</v>
      </c>
      <c r="O82">
        <f t="shared" ref="O82" si="7">M82/J82*100</f>
        <v>28.571428571428569</v>
      </c>
    </row>
    <row r="83" spans="1:15" x14ac:dyDescent="0.25">
      <c r="A83" t="s">
        <v>5</v>
      </c>
      <c r="B83" s="2">
        <v>1</v>
      </c>
      <c r="C83">
        <v>205</v>
      </c>
      <c r="E83">
        <v>190</v>
      </c>
      <c r="G83">
        <f t="shared" si="0"/>
        <v>92.682926829268297</v>
      </c>
    </row>
    <row r="84" spans="1:15" x14ac:dyDescent="0.25">
      <c r="A84" t="s">
        <v>5</v>
      </c>
      <c r="B84" s="2">
        <v>1</v>
      </c>
      <c r="C84" s="4">
        <v>0</v>
      </c>
    </row>
    <row r="85" spans="1:15" x14ac:dyDescent="0.25">
      <c r="A85" t="s">
        <v>5</v>
      </c>
      <c r="B85" s="2">
        <v>1</v>
      </c>
      <c r="C85" s="4">
        <v>0</v>
      </c>
    </row>
    <row r="86" spans="1:15" x14ac:dyDescent="0.25">
      <c r="A86" t="s">
        <v>5</v>
      </c>
      <c r="B86" s="2">
        <v>1</v>
      </c>
      <c r="C86">
        <v>45</v>
      </c>
      <c r="E86">
        <v>34</v>
      </c>
      <c r="G86">
        <f t="shared" si="0"/>
        <v>75.555555555555557</v>
      </c>
    </row>
    <row r="87" spans="1:15" x14ac:dyDescent="0.25">
      <c r="A87" t="s">
        <v>5</v>
      </c>
      <c r="B87" s="2">
        <v>1</v>
      </c>
      <c r="C87" s="4">
        <v>0</v>
      </c>
    </row>
    <row r="88" spans="1:15" x14ac:dyDescent="0.25">
      <c r="A88" t="s">
        <v>5</v>
      </c>
      <c r="B88" s="2">
        <v>1</v>
      </c>
      <c r="C88">
        <v>0</v>
      </c>
      <c r="E88">
        <v>0</v>
      </c>
      <c r="G88">
        <v>0</v>
      </c>
    </row>
    <row r="89" spans="1:15" x14ac:dyDescent="0.25">
      <c r="A89" t="s">
        <v>5</v>
      </c>
      <c r="B89" s="2">
        <v>2</v>
      </c>
      <c r="C89">
        <v>170</v>
      </c>
      <c r="E89">
        <v>2</v>
      </c>
      <c r="G89">
        <f t="shared" si="0"/>
        <v>1.1764705882352942</v>
      </c>
      <c r="J89">
        <v>8</v>
      </c>
      <c r="M89">
        <v>7</v>
      </c>
      <c r="O89">
        <f t="shared" ref="O89" si="8">M89/J89*100</f>
        <v>87.5</v>
      </c>
    </row>
    <row r="90" spans="1:15" x14ac:dyDescent="0.25">
      <c r="A90" t="s">
        <v>5</v>
      </c>
      <c r="B90" s="2">
        <v>2</v>
      </c>
      <c r="C90">
        <v>57</v>
      </c>
      <c r="E90">
        <v>45</v>
      </c>
      <c r="G90">
        <f t="shared" si="0"/>
        <v>78.94736842105263</v>
      </c>
    </row>
    <row r="91" spans="1:15" x14ac:dyDescent="0.25">
      <c r="A91" t="s">
        <v>5</v>
      </c>
      <c r="B91" s="2">
        <v>2</v>
      </c>
      <c r="C91">
        <v>111</v>
      </c>
      <c r="E91">
        <v>107</v>
      </c>
      <c r="G91">
        <f t="shared" si="0"/>
        <v>96.396396396396398</v>
      </c>
    </row>
    <row r="92" spans="1:15" x14ac:dyDescent="0.25">
      <c r="A92" t="s">
        <v>5</v>
      </c>
      <c r="B92" s="2">
        <v>2</v>
      </c>
      <c r="C92">
        <v>122</v>
      </c>
      <c r="E92">
        <v>113</v>
      </c>
      <c r="G92">
        <f t="shared" si="0"/>
        <v>92.622950819672127</v>
      </c>
    </row>
    <row r="93" spans="1:15" x14ac:dyDescent="0.25">
      <c r="A93" t="s">
        <v>5</v>
      </c>
      <c r="B93" s="2">
        <v>2</v>
      </c>
      <c r="C93">
        <v>27</v>
      </c>
      <c r="E93">
        <v>25</v>
      </c>
      <c r="G93">
        <f t="shared" si="0"/>
        <v>92.592592592592595</v>
      </c>
    </row>
    <row r="94" spans="1:15" x14ac:dyDescent="0.25">
      <c r="A94" t="s">
        <v>5</v>
      </c>
      <c r="B94" s="2">
        <v>2</v>
      </c>
      <c r="C94">
        <v>59</v>
      </c>
      <c r="E94">
        <v>57</v>
      </c>
      <c r="G94">
        <f t="shared" si="0"/>
        <v>96.610169491525426</v>
      </c>
    </row>
    <row r="95" spans="1:15" x14ac:dyDescent="0.25">
      <c r="A95" t="s">
        <v>5</v>
      </c>
      <c r="B95" s="2">
        <v>2</v>
      </c>
      <c r="C95">
        <v>0</v>
      </c>
      <c r="E95">
        <v>0</v>
      </c>
      <c r="G95">
        <v>0</v>
      </c>
    </row>
    <row r="96" spans="1:15" x14ac:dyDescent="0.25">
      <c r="A96" t="s">
        <v>5</v>
      </c>
      <c r="B96" s="2">
        <v>2</v>
      </c>
      <c r="C96">
        <v>73</v>
      </c>
      <c r="E96">
        <v>0</v>
      </c>
      <c r="G96">
        <f t="shared" si="0"/>
        <v>0</v>
      </c>
    </row>
    <row r="97" spans="1:15" x14ac:dyDescent="0.25">
      <c r="A97" t="s">
        <v>5</v>
      </c>
      <c r="B97" s="2">
        <v>3</v>
      </c>
      <c r="C97">
        <v>90</v>
      </c>
      <c r="E97">
        <v>2</v>
      </c>
      <c r="G97">
        <f t="shared" si="0"/>
        <v>2.2222222222222223</v>
      </c>
      <c r="J97">
        <v>5</v>
      </c>
      <c r="M97">
        <v>3</v>
      </c>
      <c r="O97">
        <f t="shared" ref="O97" si="9">M97/J97*100</f>
        <v>60</v>
      </c>
    </row>
    <row r="98" spans="1:15" x14ac:dyDescent="0.25">
      <c r="A98" t="s">
        <v>5</v>
      </c>
      <c r="B98" s="2">
        <v>3</v>
      </c>
      <c r="C98">
        <v>0</v>
      </c>
      <c r="E98">
        <v>0</v>
      </c>
      <c r="G98">
        <v>0</v>
      </c>
    </row>
    <row r="99" spans="1:15" x14ac:dyDescent="0.25">
      <c r="A99" t="s">
        <v>5</v>
      </c>
      <c r="B99" s="2">
        <v>3</v>
      </c>
      <c r="C99">
        <v>149</v>
      </c>
      <c r="E99">
        <v>148</v>
      </c>
      <c r="G99">
        <f t="shared" ref="G99:G165" si="10">E99/C99*100</f>
        <v>99.328859060402692</v>
      </c>
    </row>
    <row r="100" spans="1:15" x14ac:dyDescent="0.25">
      <c r="A100" t="s">
        <v>5</v>
      </c>
      <c r="B100" s="2">
        <v>3</v>
      </c>
      <c r="C100">
        <v>0</v>
      </c>
      <c r="E100">
        <v>0</v>
      </c>
      <c r="G100">
        <v>0</v>
      </c>
    </row>
    <row r="101" spans="1:15" x14ac:dyDescent="0.25">
      <c r="A101" t="s">
        <v>5</v>
      </c>
      <c r="B101" s="2">
        <v>3</v>
      </c>
      <c r="C101">
        <v>90</v>
      </c>
      <c r="E101">
        <v>87</v>
      </c>
      <c r="G101">
        <f t="shared" si="10"/>
        <v>96.666666666666671</v>
      </c>
    </row>
    <row r="102" spans="1:15" x14ac:dyDescent="0.25">
      <c r="A102" t="s">
        <v>5</v>
      </c>
      <c r="B102" s="2">
        <v>4</v>
      </c>
      <c r="C102">
        <v>177</v>
      </c>
      <c r="E102">
        <v>169</v>
      </c>
      <c r="G102">
        <f t="shared" si="10"/>
        <v>95.480225988700568</v>
      </c>
      <c r="J102">
        <v>6</v>
      </c>
      <c r="M102">
        <v>6</v>
      </c>
      <c r="O102">
        <v>100</v>
      </c>
    </row>
    <row r="103" spans="1:15" x14ac:dyDescent="0.25">
      <c r="A103" t="s">
        <v>5</v>
      </c>
      <c r="B103" s="2">
        <v>4</v>
      </c>
      <c r="C103">
        <v>88</v>
      </c>
      <c r="E103">
        <v>80</v>
      </c>
      <c r="G103">
        <f t="shared" si="10"/>
        <v>90.909090909090907</v>
      </c>
    </row>
    <row r="104" spans="1:15" x14ac:dyDescent="0.25">
      <c r="A104" t="s">
        <v>5</v>
      </c>
      <c r="B104" s="2">
        <v>4</v>
      </c>
      <c r="C104">
        <v>78</v>
      </c>
      <c r="E104">
        <v>68</v>
      </c>
      <c r="G104">
        <f t="shared" si="10"/>
        <v>87.179487179487182</v>
      </c>
    </row>
    <row r="105" spans="1:15" x14ac:dyDescent="0.25">
      <c r="A105" t="s">
        <v>5</v>
      </c>
      <c r="B105" s="2">
        <v>4</v>
      </c>
      <c r="C105">
        <v>121</v>
      </c>
      <c r="E105">
        <v>116</v>
      </c>
      <c r="G105">
        <f t="shared" si="10"/>
        <v>95.867768595041326</v>
      </c>
    </row>
    <row r="106" spans="1:15" x14ac:dyDescent="0.25">
      <c r="A106" t="s">
        <v>5</v>
      </c>
      <c r="B106" s="2">
        <v>4</v>
      </c>
      <c r="C106">
        <v>131</v>
      </c>
      <c r="E106">
        <v>131</v>
      </c>
      <c r="G106">
        <f t="shared" si="10"/>
        <v>100</v>
      </c>
    </row>
    <row r="107" spans="1:15" x14ac:dyDescent="0.25">
      <c r="A107" t="s">
        <v>5</v>
      </c>
      <c r="B107" s="2">
        <v>4</v>
      </c>
      <c r="C107">
        <v>111</v>
      </c>
      <c r="E107">
        <v>104</v>
      </c>
      <c r="G107">
        <f t="shared" si="10"/>
        <v>93.693693693693689</v>
      </c>
    </row>
    <row r="108" spans="1:15" x14ac:dyDescent="0.25">
      <c r="A108" t="s">
        <v>5</v>
      </c>
      <c r="B108" s="2">
        <v>5</v>
      </c>
      <c r="C108">
        <v>54</v>
      </c>
      <c r="E108">
        <v>40</v>
      </c>
      <c r="G108">
        <f t="shared" si="10"/>
        <v>74.074074074074076</v>
      </c>
      <c r="J108">
        <v>9</v>
      </c>
      <c r="M108">
        <v>6</v>
      </c>
      <c r="O108">
        <f t="shared" ref="O108" si="11">M108/J108*100</f>
        <v>66.666666666666657</v>
      </c>
    </row>
    <row r="109" spans="1:15" x14ac:dyDescent="0.25">
      <c r="A109" t="s">
        <v>5</v>
      </c>
      <c r="B109" s="2">
        <v>5</v>
      </c>
      <c r="C109">
        <v>0</v>
      </c>
      <c r="E109">
        <v>0</v>
      </c>
      <c r="G109">
        <v>0</v>
      </c>
    </row>
    <row r="110" spans="1:15" x14ac:dyDescent="0.25">
      <c r="A110" t="s">
        <v>5</v>
      </c>
      <c r="B110" s="2">
        <v>5</v>
      </c>
      <c r="C110">
        <v>44</v>
      </c>
      <c r="E110">
        <v>39</v>
      </c>
      <c r="G110">
        <f t="shared" si="10"/>
        <v>88.63636363636364</v>
      </c>
    </row>
    <row r="111" spans="1:15" x14ac:dyDescent="0.25">
      <c r="A111" t="s">
        <v>5</v>
      </c>
      <c r="B111" s="2">
        <v>5</v>
      </c>
      <c r="C111">
        <v>75</v>
      </c>
      <c r="E111">
        <v>9</v>
      </c>
      <c r="G111">
        <f t="shared" si="10"/>
        <v>12</v>
      </c>
    </row>
    <row r="112" spans="1:15" x14ac:dyDescent="0.25">
      <c r="A112" t="s">
        <v>5</v>
      </c>
      <c r="B112" s="2">
        <v>5</v>
      </c>
      <c r="C112">
        <v>191</v>
      </c>
      <c r="E112">
        <v>186</v>
      </c>
      <c r="G112">
        <f t="shared" si="10"/>
        <v>97.382198952879577</v>
      </c>
    </row>
    <row r="113" spans="1:15" x14ac:dyDescent="0.25">
      <c r="A113" t="s">
        <v>5</v>
      </c>
      <c r="B113" s="2">
        <v>5</v>
      </c>
      <c r="C113">
        <v>97</v>
      </c>
      <c r="E113">
        <v>1</v>
      </c>
      <c r="G113">
        <f t="shared" si="10"/>
        <v>1.0309278350515463</v>
      </c>
    </row>
    <row r="114" spans="1:15" x14ac:dyDescent="0.25">
      <c r="A114" t="s">
        <v>5</v>
      </c>
      <c r="B114" s="2">
        <v>5</v>
      </c>
      <c r="C114">
        <v>4</v>
      </c>
      <c r="E114">
        <v>0</v>
      </c>
      <c r="G114">
        <f t="shared" si="10"/>
        <v>0</v>
      </c>
    </row>
    <row r="115" spans="1:15" x14ac:dyDescent="0.25">
      <c r="A115" t="s">
        <v>5</v>
      </c>
      <c r="B115" s="2">
        <v>5</v>
      </c>
      <c r="C115" s="3">
        <v>0</v>
      </c>
      <c r="E115">
        <v>0</v>
      </c>
      <c r="G115">
        <v>0</v>
      </c>
    </row>
    <row r="116" spans="1:15" x14ac:dyDescent="0.25">
      <c r="A116" t="s">
        <v>5</v>
      </c>
      <c r="B116" s="2">
        <v>5</v>
      </c>
      <c r="C116" s="3">
        <v>0</v>
      </c>
      <c r="E116">
        <v>0</v>
      </c>
      <c r="G116">
        <v>0</v>
      </c>
    </row>
    <row r="117" spans="1:15" x14ac:dyDescent="0.25">
      <c r="A117" t="s">
        <v>6</v>
      </c>
      <c r="B117" s="2">
        <v>1</v>
      </c>
      <c r="C117" s="3">
        <v>0</v>
      </c>
      <c r="E117">
        <v>0</v>
      </c>
      <c r="G117">
        <v>0</v>
      </c>
    </row>
    <row r="118" spans="1:15" x14ac:dyDescent="0.25">
      <c r="A118" t="s">
        <v>6</v>
      </c>
      <c r="B118" s="2">
        <v>1</v>
      </c>
      <c r="C118">
        <v>129</v>
      </c>
      <c r="E118">
        <v>112</v>
      </c>
      <c r="G118">
        <f t="shared" si="10"/>
        <v>86.821705426356587</v>
      </c>
      <c r="J118">
        <v>8</v>
      </c>
      <c r="M118">
        <v>6</v>
      </c>
      <c r="O118">
        <f t="shared" ref="O118" si="12">M118/J118*100</f>
        <v>75</v>
      </c>
    </row>
    <row r="119" spans="1:15" x14ac:dyDescent="0.25">
      <c r="A119" t="s">
        <v>6</v>
      </c>
      <c r="B119" s="2">
        <v>1</v>
      </c>
      <c r="C119">
        <v>153</v>
      </c>
      <c r="E119">
        <v>0</v>
      </c>
      <c r="G119">
        <f t="shared" si="10"/>
        <v>0</v>
      </c>
    </row>
    <row r="120" spans="1:15" x14ac:dyDescent="0.25">
      <c r="A120" t="s">
        <v>6</v>
      </c>
      <c r="B120" s="2">
        <v>1</v>
      </c>
      <c r="C120" s="4">
        <v>0</v>
      </c>
    </row>
    <row r="121" spans="1:15" x14ac:dyDescent="0.25">
      <c r="A121" t="s">
        <v>6</v>
      </c>
      <c r="B121" s="2">
        <v>1</v>
      </c>
      <c r="C121">
        <v>23</v>
      </c>
      <c r="E121">
        <v>0</v>
      </c>
      <c r="G121">
        <f t="shared" si="10"/>
        <v>0</v>
      </c>
    </row>
    <row r="122" spans="1:15" x14ac:dyDescent="0.25">
      <c r="A122" t="s">
        <v>6</v>
      </c>
      <c r="B122" s="2">
        <v>1</v>
      </c>
      <c r="C122">
        <v>157</v>
      </c>
      <c r="E122">
        <v>0</v>
      </c>
      <c r="G122">
        <f t="shared" si="10"/>
        <v>0</v>
      </c>
    </row>
    <row r="123" spans="1:15" x14ac:dyDescent="0.25">
      <c r="A123" t="s">
        <v>6</v>
      </c>
      <c r="B123" s="2">
        <v>1</v>
      </c>
      <c r="C123">
        <v>126</v>
      </c>
      <c r="E123">
        <v>99</v>
      </c>
      <c r="G123">
        <f t="shared" si="10"/>
        <v>78.571428571428569</v>
      </c>
    </row>
    <row r="124" spans="1:15" x14ac:dyDescent="0.25">
      <c r="A124" t="s">
        <v>6</v>
      </c>
      <c r="B124" s="2">
        <v>1</v>
      </c>
      <c r="C124" s="3">
        <v>0</v>
      </c>
      <c r="E124">
        <v>0</v>
      </c>
      <c r="G124">
        <v>0</v>
      </c>
    </row>
    <row r="125" spans="1:15" x14ac:dyDescent="0.25">
      <c r="A125" t="s">
        <v>6</v>
      </c>
      <c r="B125" s="2">
        <v>2</v>
      </c>
      <c r="C125" s="3">
        <v>0</v>
      </c>
      <c r="E125">
        <v>0</v>
      </c>
      <c r="G125">
        <v>0</v>
      </c>
      <c r="J125">
        <v>8</v>
      </c>
      <c r="M125">
        <v>2</v>
      </c>
      <c r="O125">
        <f t="shared" ref="O125" si="13">M125/J125*100</f>
        <v>25</v>
      </c>
    </row>
    <row r="126" spans="1:15" x14ac:dyDescent="0.25">
      <c r="A126" t="s">
        <v>6</v>
      </c>
      <c r="B126" s="2">
        <v>2</v>
      </c>
      <c r="C126" s="3">
        <v>0</v>
      </c>
      <c r="E126">
        <v>0</v>
      </c>
      <c r="G126">
        <v>0</v>
      </c>
    </row>
    <row r="127" spans="1:15" x14ac:dyDescent="0.25">
      <c r="A127" t="s">
        <v>6</v>
      </c>
      <c r="B127" s="2">
        <v>2</v>
      </c>
      <c r="C127" s="3">
        <v>0</v>
      </c>
      <c r="E127">
        <v>0</v>
      </c>
      <c r="G127">
        <v>0</v>
      </c>
    </row>
    <row r="128" spans="1:15" x14ac:dyDescent="0.25">
      <c r="A128" t="s">
        <v>6</v>
      </c>
      <c r="B128" s="2">
        <v>2</v>
      </c>
      <c r="C128">
        <v>132</v>
      </c>
      <c r="E128">
        <v>93</v>
      </c>
      <c r="G128">
        <f t="shared" si="10"/>
        <v>70.454545454545453</v>
      </c>
    </row>
    <row r="129" spans="1:15" x14ac:dyDescent="0.25">
      <c r="A129" t="s">
        <v>6</v>
      </c>
      <c r="B129" s="2">
        <v>2</v>
      </c>
      <c r="C129">
        <v>140</v>
      </c>
      <c r="E129">
        <v>0</v>
      </c>
      <c r="G129">
        <f t="shared" si="10"/>
        <v>0</v>
      </c>
    </row>
    <row r="130" spans="1:15" x14ac:dyDescent="0.25">
      <c r="A130" t="s">
        <v>6</v>
      </c>
      <c r="B130" s="2">
        <v>2</v>
      </c>
      <c r="C130">
        <v>0</v>
      </c>
      <c r="E130">
        <v>0</v>
      </c>
      <c r="G130">
        <v>0</v>
      </c>
    </row>
    <row r="131" spans="1:15" x14ac:dyDescent="0.25">
      <c r="A131" t="s">
        <v>6</v>
      </c>
      <c r="B131" s="2">
        <v>2</v>
      </c>
      <c r="C131" s="4">
        <v>0</v>
      </c>
    </row>
    <row r="132" spans="1:15" x14ac:dyDescent="0.25">
      <c r="A132" t="s">
        <v>6</v>
      </c>
      <c r="B132" s="2">
        <v>2</v>
      </c>
      <c r="C132" s="3">
        <v>0</v>
      </c>
      <c r="E132">
        <v>0</v>
      </c>
      <c r="G132">
        <v>0</v>
      </c>
    </row>
    <row r="133" spans="1:15" x14ac:dyDescent="0.25">
      <c r="A133" t="s">
        <v>6</v>
      </c>
      <c r="B133" s="2">
        <v>3</v>
      </c>
      <c r="C133" s="4">
        <v>0</v>
      </c>
      <c r="J133">
        <v>9</v>
      </c>
      <c r="M133">
        <v>4</v>
      </c>
      <c r="O133">
        <f t="shared" ref="O133" si="14">M133/J133*100</f>
        <v>44.444444444444443</v>
      </c>
    </row>
    <row r="134" spans="1:15" x14ac:dyDescent="0.25">
      <c r="A134" t="s">
        <v>6</v>
      </c>
      <c r="B134" s="2">
        <v>3</v>
      </c>
      <c r="C134">
        <v>54</v>
      </c>
      <c r="E134">
        <v>0</v>
      </c>
      <c r="G134">
        <f t="shared" si="10"/>
        <v>0</v>
      </c>
    </row>
    <row r="135" spans="1:15" x14ac:dyDescent="0.25">
      <c r="A135" t="s">
        <v>6</v>
      </c>
      <c r="B135" s="2">
        <v>3</v>
      </c>
      <c r="C135">
        <v>142</v>
      </c>
      <c r="E135">
        <v>13</v>
      </c>
      <c r="G135">
        <f t="shared" si="10"/>
        <v>9.1549295774647899</v>
      </c>
    </row>
    <row r="136" spans="1:15" x14ac:dyDescent="0.25">
      <c r="A136" t="s">
        <v>6</v>
      </c>
      <c r="B136" s="2">
        <v>3</v>
      </c>
      <c r="C136" s="4">
        <v>0</v>
      </c>
    </row>
    <row r="137" spans="1:15" x14ac:dyDescent="0.25">
      <c r="A137" t="s">
        <v>6</v>
      </c>
      <c r="B137" s="2">
        <v>3</v>
      </c>
      <c r="C137" s="4">
        <v>0</v>
      </c>
    </row>
    <row r="138" spans="1:15" x14ac:dyDescent="0.25">
      <c r="A138" t="s">
        <v>6</v>
      </c>
      <c r="B138" s="2">
        <v>3</v>
      </c>
      <c r="C138" s="4">
        <v>0</v>
      </c>
    </row>
    <row r="139" spans="1:15" x14ac:dyDescent="0.25">
      <c r="A139" t="s">
        <v>6</v>
      </c>
      <c r="B139" s="2">
        <v>3</v>
      </c>
      <c r="C139" s="4">
        <v>0</v>
      </c>
    </row>
    <row r="140" spans="1:15" x14ac:dyDescent="0.25">
      <c r="A140" t="s">
        <v>6</v>
      </c>
      <c r="B140" s="2">
        <v>3</v>
      </c>
      <c r="C140">
        <v>132</v>
      </c>
      <c r="E140">
        <v>99</v>
      </c>
      <c r="G140">
        <f t="shared" si="10"/>
        <v>75</v>
      </c>
    </row>
    <row r="141" spans="1:15" x14ac:dyDescent="0.25">
      <c r="A141" t="s">
        <v>6</v>
      </c>
      <c r="B141" s="2">
        <v>3</v>
      </c>
      <c r="C141">
        <v>130</v>
      </c>
      <c r="E141">
        <v>121</v>
      </c>
      <c r="G141">
        <f t="shared" si="10"/>
        <v>93.07692307692308</v>
      </c>
    </row>
    <row r="142" spans="1:15" x14ac:dyDescent="0.25">
      <c r="A142" t="s">
        <v>6</v>
      </c>
      <c r="B142" s="2">
        <v>4</v>
      </c>
      <c r="C142" s="3">
        <v>0</v>
      </c>
      <c r="E142">
        <v>0</v>
      </c>
      <c r="G142">
        <v>0</v>
      </c>
      <c r="J142">
        <v>9</v>
      </c>
      <c r="M142">
        <v>5</v>
      </c>
      <c r="O142">
        <f t="shared" ref="O142" si="15">M142/J142*100</f>
        <v>55.555555555555557</v>
      </c>
    </row>
    <row r="143" spans="1:15" x14ac:dyDescent="0.25">
      <c r="A143" t="s">
        <v>6</v>
      </c>
      <c r="B143" s="2">
        <v>4</v>
      </c>
      <c r="C143">
        <v>116</v>
      </c>
      <c r="E143">
        <v>0</v>
      </c>
      <c r="G143">
        <f t="shared" si="10"/>
        <v>0</v>
      </c>
    </row>
    <row r="144" spans="1:15" x14ac:dyDescent="0.25">
      <c r="A144" t="s">
        <v>6</v>
      </c>
      <c r="B144" s="2">
        <v>4</v>
      </c>
      <c r="C144" s="3">
        <v>0</v>
      </c>
      <c r="E144">
        <v>0</v>
      </c>
      <c r="G144">
        <v>0</v>
      </c>
    </row>
    <row r="145" spans="1:15" x14ac:dyDescent="0.25">
      <c r="A145" t="s">
        <v>6</v>
      </c>
      <c r="B145" s="2">
        <v>4</v>
      </c>
      <c r="C145">
        <v>122</v>
      </c>
      <c r="E145">
        <v>0</v>
      </c>
      <c r="G145">
        <f t="shared" si="10"/>
        <v>0</v>
      </c>
    </row>
    <row r="146" spans="1:15" x14ac:dyDescent="0.25">
      <c r="A146" t="s">
        <v>6</v>
      </c>
      <c r="B146" s="2">
        <v>4</v>
      </c>
      <c r="C146">
        <v>28</v>
      </c>
      <c r="E146">
        <v>0</v>
      </c>
      <c r="G146">
        <f t="shared" si="10"/>
        <v>0</v>
      </c>
    </row>
    <row r="147" spans="1:15" x14ac:dyDescent="0.25">
      <c r="A147" t="s">
        <v>6</v>
      </c>
      <c r="B147" s="2">
        <v>4</v>
      </c>
      <c r="C147" s="3">
        <v>0</v>
      </c>
      <c r="E147">
        <v>0</v>
      </c>
      <c r="G147">
        <v>0</v>
      </c>
    </row>
    <row r="148" spans="1:15" x14ac:dyDescent="0.25">
      <c r="A148" t="s">
        <v>6</v>
      </c>
      <c r="B148" s="2">
        <v>4</v>
      </c>
      <c r="C148">
        <v>127</v>
      </c>
      <c r="E148">
        <v>0</v>
      </c>
      <c r="G148">
        <f t="shared" si="10"/>
        <v>0</v>
      </c>
    </row>
    <row r="149" spans="1:15" x14ac:dyDescent="0.25">
      <c r="A149" t="s">
        <v>6</v>
      </c>
      <c r="B149" s="2">
        <v>4</v>
      </c>
      <c r="C149">
        <v>49</v>
      </c>
      <c r="E149">
        <v>0</v>
      </c>
      <c r="G149">
        <f t="shared" si="10"/>
        <v>0</v>
      </c>
    </row>
    <row r="150" spans="1:15" x14ac:dyDescent="0.25">
      <c r="A150" t="s">
        <v>6</v>
      </c>
      <c r="B150" s="2">
        <v>4</v>
      </c>
      <c r="C150" s="4">
        <v>0</v>
      </c>
    </row>
    <row r="151" spans="1:15" x14ac:dyDescent="0.25">
      <c r="A151" t="s">
        <v>6</v>
      </c>
      <c r="B151" s="2">
        <v>5</v>
      </c>
      <c r="C151">
        <v>82</v>
      </c>
      <c r="E151">
        <v>0</v>
      </c>
      <c r="G151">
        <f t="shared" si="10"/>
        <v>0</v>
      </c>
      <c r="J151">
        <v>9</v>
      </c>
      <c r="M151">
        <v>4</v>
      </c>
      <c r="O151">
        <f t="shared" ref="O151" si="16">M151/J151*100</f>
        <v>44.444444444444443</v>
      </c>
    </row>
    <row r="152" spans="1:15" x14ac:dyDescent="0.25">
      <c r="A152" t="s">
        <v>6</v>
      </c>
      <c r="B152" s="2">
        <v>5</v>
      </c>
      <c r="C152">
        <v>41</v>
      </c>
      <c r="E152">
        <v>0</v>
      </c>
      <c r="G152">
        <f t="shared" si="10"/>
        <v>0</v>
      </c>
    </row>
    <row r="153" spans="1:15" x14ac:dyDescent="0.25">
      <c r="A153" t="s">
        <v>6</v>
      </c>
      <c r="B153" s="2">
        <v>5</v>
      </c>
      <c r="C153">
        <v>52</v>
      </c>
      <c r="E153">
        <v>0</v>
      </c>
      <c r="G153">
        <f t="shared" si="10"/>
        <v>0</v>
      </c>
    </row>
    <row r="154" spans="1:15" x14ac:dyDescent="0.25">
      <c r="A154" t="s">
        <v>6</v>
      </c>
      <c r="B154" s="2">
        <v>5</v>
      </c>
      <c r="C154" s="3">
        <v>0</v>
      </c>
      <c r="E154">
        <v>0</v>
      </c>
      <c r="G154">
        <v>0</v>
      </c>
    </row>
    <row r="155" spans="1:15" x14ac:dyDescent="0.25">
      <c r="A155" t="s">
        <v>6</v>
      </c>
      <c r="B155" s="2">
        <v>5</v>
      </c>
      <c r="C155">
        <v>0</v>
      </c>
      <c r="E155">
        <v>0</v>
      </c>
      <c r="G155">
        <v>0</v>
      </c>
    </row>
    <row r="156" spans="1:15" x14ac:dyDescent="0.25">
      <c r="A156" t="s">
        <v>6</v>
      </c>
      <c r="B156" s="2">
        <v>5</v>
      </c>
      <c r="C156" s="3">
        <v>0</v>
      </c>
      <c r="E156">
        <v>0</v>
      </c>
      <c r="G156">
        <v>0</v>
      </c>
    </row>
    <row r="157" spans="1:15" x14ac:dyDescent="0.25">
      <c r="A157" t="s">
        <v>6</v>
      </c>
      <c r="B157" s="2">
        <v>5</v>
      </c>
      <c r="C157" s="3">
        <v>0</v>
      </c>
      <c r="E157">
        <v>0</v>
      </c>
      <c r="G157">
        <v>0</v>
      </c>
    </row>
    <row r="158" spans="1:15" x14ac:dyDescent="0.25">
      <c r="A158" t="s">
        <v>6</v>
      </c>
      <c r="B158" s="2">
        <v>5</v>
      </c>
      <c r="C158">
        <v>21</v>
      </c>
      <c r="E158">
        <v>0</v>
      </c>
      <c r="G158">
        <f t="shared" si="10"/>
        <v>0</v>
      </c>
    </row>
    <row r="159" spans="1:15" x14ac:dyDescent="0.25">
      <c r="A159" t="s">
        <v>6</v>
      </c>
      <c r="B159" s="2">
        <v>5</v>
      </c>
      <c r="C159">
        <v>0</v>
      </c>
      <c r="E159">
        <v>0</v>
      </c>
      <c r="G159">
        <v>0</v>
      </c>
    </row>
    <row r="160" spans="1:15" x14ac:dyDescent="0.25">
      <c r="A160" t="s">
        <v>7</v>
      </c>
      <c r="B160" s="2">
        <v>1</v>
      </c>
      <c r="C160">
        <v>0</v>
      </c>
      <c r="E160">
        <v>0</v>
      </c>
      <c r="G160">
        <v>0</v>
      </c>
      <c r="J160">
        <v>6</v>
      </c>
      <c r="M160">
        <v>2</v>
      </c>
      <c r="O160">
        <f t="shared" ref="O160" si="17">M160/J160*100</f>
        <v>33.333333333333329</v>
      </c>
    </row>
    <row r="161" spans="1:15" x14ac:dyDescent="0.25">
      <c r="A161" t="s">
        <v>7</v>
      </c>
      <c r="B161" s="2">
        <v>1</v>
      </c>
      <c r="C161" s="3">
        <v>0</v>
      </c>
      <c r="E161">
        <v>0</v>
      </c>
      <c r="G161">
        <v>0</v>
      </c>
    </row>
    <row r="162" spans="1:15" x14ac:dyDescent="0.25">
      <c r="A162" t="s">
        <v>7</v>
      </c>
      <c r="B162" s="2">
        <v>1</v>
      </c>
      <c r="C162">
        <v>0</v>
      </c>
      <c r="E162">
        <v>0</v>
      </c>
      <c r="G162">
        <v>0</v>
      </c>
    </row>
    <row r="163" spans="1:15" x14ac:dyDescent="0.25">
      <c r="A163" t="s">
        <v>7</v>
      </c>
      <c r="B163" s="2">
        <v>1</v>
      </c>
      <c r="C163" s="4">
        <v>0</v>
      </c>
    </row>
    <row r="164" spans="1:15" x14ac:dyDescent="0.25">
      <c r="A164" t="s">
        <v>7</v>
      </c>
      <c r="B164" s="2">
        <v>1</v>
      </c>
      <c r="C164">
        <v>87</v>
      </c>
      <c r="E164">
        <v>10</v>
      </c>
      <c r="G164">
        <f t="shared" si="10"/>
        <v>11.494252873563218</v>
      </c>
    </row>
    <row r="165" spans="1:15" x14ac:dyDescent="0.25">
      <c r="A165" t="s">
        <v>7</v>
      </c>
      <c r="B165" s="2">
        <v>1</v>
      </c>
      <c r="C165">
        <v>1</v>
      </c>
      <c r="E165">
        <v>0</v>
      </c>
      <c r="G165">
        <f t="shared" si="10"/>
        <v>0</v>
      </c>
    </row>
    <row r="166" spans="1:15" x14ac:dyDescent="0.25">
      <c r="A166" t="s">
        <v>7</v>
      </c>
      <c r="B166" s="2">
        <v>1</v>
      </c>
      <c r="C166" s="3">
        <v>0</v>
      </c>
      <c r="E166">
        <v>0</v>
      </c>
      <c r="G166">
        <v>0</v>
      </c>
    </row>
    <row r="167" spans="1:15" x14ac:dyDescent="0.25">
      <c r="A167" t="s">
        <v>7</v>
      </c>
      <c r="B167" s="2">
        <v>2</v>
      </c>
      <c r="C167" s="4">
        <v>0</v>
      </c>
      <c r="J167">
        <v>8</v>
      </c>
      <c r="M167">
        <v>1</v>
      </c>
      <c r="O167">
        <f t="shared" ref="O167" si="18">M167/J167*100</f>
        <v>12.5</v>
      </c>
    </row>
    <row r="168" spans="1:15" x14ac:dyDescent="0.25">
      <c r="A168" t="s">
        <v>7</v>
      </c>
      <c r="B168" s="2">
        <v>2</v>
      </c>
      <c r="C168" s="4">
        <v>0</v>
      </c>
    </row>
    <row r="169" spans="1:15" x14ac:dyDescent="0.25">
      <c r="A169" t="s">
        <v>7</v>
      </c>
      <c r="B169" s="2">
        <v>2</v>
      </c>
      <c r="C169" s="4">
        <v>0</v>
      </c>
    </row>
    <row r="170" spans="1:15" x14ac:dyDescent="0.25">
      <c r="A170" t="s">
        <v>7</v>
      </c>
      <c r="B170" s="2">
        <v>2</v>
      </c>
      <c r="C170" s="4">
        <v>0</v>
      </c>
    </row>
    <row r="171" spans="1:15" x14ac:dyDescent="0.25">
      <c r="A171" t="s">
        <v>7</v>
      </c>
      <c r="B171" s="2">
        <v>2</v>
      </c>
      <c r="C171">
        <v>0</v>
      </c>
      <c r="E171">
        <v>0</v>
      </c>
      <c r="G171">
        <v>0</v>
      </c>
    </row>
    <row r="172" spans="1:15" x14ac:dyDescent="0.25">
      <c r="A172" t="s">
        <v>7</v>
      </c>
      <c r="B172" s="2">
        <v>2</v>
      </c>
      <c r="C172">
        <v>0</v>
      </c>
      <c r="E172">
        <v>0</v>
      </c>
      <c r="G172">
        <v>0</v>
      </c>
    </row>
    <row r="173" spans="1:15" x14ac:dyDescent="0.25">
      <c r="A173" t="s">
        <v>7</v>
      </c>
      <c r="B173" s="2">
        <v>2</v>
      </c>
      <c r="C173">
        <v>43</v>
      </c>
      <c r="E173">
        <v>35</v>
      </c>
      <c r="G173">
        <f t="shared" ref="G173:G203" si="19">E173/C173*100</f>
        <v>81.395348837209298</v>
      </c>
    </row>
    <row r="174" spans="1:15" x14ac:dyDescent="0.25">
      <c r="A174" t="s">
        <v>7</v>
      </c>
      <c r="B174" s="2">
        <v>2</v>
      </c>
      <c r="C174" s="4">
        <v>0</v>
      </c>
    </row>
    <row r="175" spans="1:15" x14ac:dyDescent="0.25">
      <c r="A175" t="s">
        <v>7</v>
      </c>
      <c r="B175" s="2">
        <v>3</v>
      </c>
      <c r="C175">
        <v>0</v>
      </c>
      <c r="E175">
        <v>0</v>
      </c>
      <c r="G175">
        <v>0</v>
      </c>
      <c r="J175">
        <v>8</v>
      </c>
      <c r="M175">
        <v>2</v>
      </c>
      <c r="O175">
        <f t="shared" ref="O175" si="20">M175/J175*100</f>
        <v>25</v>
      </c>
    </row>
    <row r="176" spans="1:15" x14ac:dyDescent="0.25">
      <c r="A176" t="s">
        <v>7</v>
      </c>
      <c r="B176" s="2">
        <v>3</v>
      </c>
      <c r="C176" s="3">
        <v>0</v>
      </c>
      <c r="E176">
        <v>0</v>
      </c>
      <c r="G176">
        <v>0</v>
      </c>
    </row>
    <row r="177" spans="1:15" x14ac:dyDescent="0.25">
      <c r="A177" t="s">
        <v>7</v>
      </c>
      <c r="B177" s="2">
        <v>3</v>
      </c>
      <c r="C177" s="4">
        <v>0</v>
      </c>
    </row>
    <row r="178" spans="1:15" x14ac:dyDescent="0.25">
      <c r="A178" t="s">
        <v>7</v>
      </c>
      <c r="B178" s="2">
        <v>3</v>
      </c>
      <c r="C178" s="4">
        <v>0</v>
      </c>
    </row>
    <row r="179" spans="1:15" x14ac:dyDescent="0.25">
      <c r="A179" t="s">
        <v>7</v>
      </c>
      <c r="B179" s="2">
        <v>3</v>
      </c>
      <c r="C179" s="4">
        <v>0</v>
      </c>
    </row>
    <row r="180" spans="1:15" x14ac:dyDescent="0.25">
      <c r="A180" t="s">
        <v>7</v>
      </c>
      <c r="B180" s="2">
        <v>3</v>
      </c>
      <c r="C180">
        <v>64</v>
      </c>
      <c r="E180">
        <v>46</v>
      </c>
      <c r="G180">
        <f t="shared" si="19"/>
        <v>71.875</v>
      </c>
    </row>
    <row r="181" spans="1:15" x14ac:dyDescent="0.25">
      <c r="A181" t="s">
        <v>7</v>
      </c>
      <c r="B181" s="2">
        <v>3</v>
      </c>
      <c r="C181">
        <v>69</v>
      </c>
      <c r="E181">
        <v>0</v>
      </c>
      <c r="G181">
        <f t="shared" si="19"/>
        <v>0</v>
      </c>
    </row>
    <row r="182" spans="1:15" x14ac:dyDescent="0.25">
      <c r="A182" t="s">
        <v>7</v>
      </c>
      <c r="B182" s="2">
        <v>3</v>
      </c>
      <c r="C182" s="4">
        <v>0</v>
      </c>
    </row>
    <row r="183" spans="1:15" x14ac:dyDescent="0.25">
      <c r="A183" t="s">
        <v>7</v>
      </c>
      <c r="B183" s="2">
        <v>4</v>
      </c>
      <c r="C183" s="3">
        <v>0</v>
      </c>
      <c r="E183">
        <v>0</v>
      </c>
      <c r="G183">
        <v>0</v>
      </c>
      <c r="J183">
        <v>8</v>
      </c>
      <c r="M183">
        <v>2</v>
      </c>
      <c r="O183">
        <v>25</v>
      </c>
    </row>
    <row r="184" spans="1:15" x14ac:dyDescent="0.25">
      <c r="A184" t="s">
        <v>7</v>
      </c>
      <c r="B184" s="2">
        <v>4</v>
      </c>
      <c r="C184">
        <v>104</v>
      </c>
      <c r="E184">
        <v>0</v>
      </c>
      <c r="G184">
        <f t="shared" si="19"/>
        <v>0</v>
      </c>
    </row>
    <row r="185" spans="1:15" x14ac:dyDescent="0.25">
      <c r="A185" t="s">
        <v>7</v>
      </c>
      <c r="B185" s="2">
        <v>4</v>
      </c>
      <c r="C185" s="4">
        <v>0</v>
      </c>
    </row>
    <row r="186" spans="1:15" x14ac:dyDescent="0.25">
      <c r="A186" t="s">
        <v>7</v>
      </c>
      <c r="B186" s="2">
        <v>4</v>
      </c>
      <c r="C186" s="4">
        <v>0</v>
      </c>
    </row>
    <row r="187" spans="1:15" x14ac:dyDescent="0.25">
      <c r="A187" t="s">
        <v>7</v>
      </c>
      <c r="B187" s="2">
        <v>4</v>
      </c>
      <c r="C187" s="4">
        <v>0</v>
      </c>
    </row>
    <row r="188" spans="1:15" x14ac:dyDescent="0.25">
      <c r="A188" t="s">
        <v>7</v>
      </c>
      <c r="B188" s="2">
        <v>4</v>
      </c>
      <c r="C188">
        <v>60</v>
      </c>
      <c r="E188">
        <v>58</v>
      </c>
      <c r="G188">
        <f t="shared" si="19"/>
        <v>96.666666666666671</v>
      </c>
    </row>
    <row r="189" spans="1:15" x14ac:dyDescent="0.25">
      <c r="A189" t="s">
        <v>7</v>
      </c>
      <c r="B189" s="2">
        <v>4</v>
      </c>
      <c r="C189">
        <v>0</v>
      </c>
      <c r="E189">
        <v>0</v>
      </c>
      <c r="G189">
        <v>0</v>
      </c>
    </row>
    <row r="190" spans="1:15" x14ac:dyDescent="0.25">
      <c r="A190" t="s">
        <v>7</v>
      </c>
      <c r="B190" s="2">
        <v>4</v>
      </c>
      <c r="C190">
        <v>0</v>
      </c>
      <c r="E190">
        <v>0</v>
      </c>
      <c r="G190">
        <v>0</v>
      </c>
    </row>
    <row r="191" spans="1:15" x14ac:dyDescent="0.25">
      <c r="A191" t="s">
        <v>7</v>
      </c>
      <c r="B191" s="2">
        <v>5</v>
      </c>
      <c r="C191">
        <v>0</v>
      </c>
      <c r="E191">
        <v>0</v>
      </c>
      <c r="G191">
        <v>0</v>
      </c>
      <c r="J191">
        <v>5</v>
      </c>
      <c r="M191">
        <v>1</v>
      </c>
      <c r="O191">
        <f t="shared" ref="O191" si="21">M191/J191*100</f>
        <v>20</v>
      </c>
    </row>
    <row r="192" spans="1:15" x14ac:dyDescent="0.25">
      <c r="A192" t="s">
        <v>7</v>
      </c>
      <c r="B192" s="2">
        <v>5</v>
      </c>
      <c r="C192" s="3">
        <v>0</v>
      </c>
      <c r="E192">
        <v>0</v>
      </c>
      <c r="G192">
        <v>0</v>
      </c>
    </row>
    <row r="193" spans="1:15" x14ac:dyDescent="0.25">
      <c r="A193" t="s">
        <v>7</v>
      </c>
      <c r="B193" s="2">
        <v>5</v>
      </c>
      <c r="C193" s="4">
        <v>0</v>
      </c>
    </row>
    <row r="194" spans="1:15" x14ac:dyDescent="0.25">
      <c r="A194" t="s">
        <v>7</v>
      </c>
      <c r="B194" s="2">
        <v>5</v>
      </c>
      <c r="C194" s="4">
        <v>0</v>
      </c>
    </row>
    <row r="195" spans="1:15" x14ac:dyDescent="0.25">
      <c r="A195" t="s">
        <v>7</v>
      </c>
      <c r="B195" s="2">
        <v>5</v>
      </c>
      <c r="C195">
        <v>106</v>
      </c>
      <c r="E195">
        <v>90</v>
      </c>
      <c r="G195">
        <f t="shared" si="19"/>
        <v>84.905660377358487</v>
      </c>
    </row>
    <row r="196" spans="1:15" x14ac:dyDescent="0.25">
      <c r="A196" t="s">
        <v>7</v>
      </c>
      <c r="B196" s="2">
        <v>6</v>
      </c>
      <c r="C196">
        <v>0</v>
      </c>
      <c r="E196">
        <v>0</v>
      </c>
      <c r="G196">
        <v>0</v>
      </c>
      <c r="J196">
        <v>8</v>
      </c>
      <c r="M196">
        <v>3</v>
      </c>
      <c r="O196">
        <f t="shared" ref="O196" si="22">M196/J196*100</f>
        <v>37.5</v>
      </c>
    </row>
    <row r="197" spans="1:15" x14ac:dyDescent="0.25">
      <c r="A197" t="s">
        <v>7</v>
      </c>
      <c r="B197" s="2">
        <v>6</v>
      </c>
      <c r="C197">
        <v>23</v>
      </c>
      <c r="E197">
        <v>12</v>
      </c>
      <c r="G197">
        <f t="shared" si="19"/>
        <v>52.173913043478258</v>
      </c>
    </row>
    <row r="198" spans="1:15" x14ac:dyDescent="0.25">
      <c r="A198" t="s">
        <v>7</v>
      </c>
      <c r="B198" s="2">
        <v>6</v>
      </c>
      <c r="C198">
        <v>0</v>
      </c>
      <c r="E198">
        <v>0</v>
      </c>
      <c r="G198">
        <v>0</v>
      </c>
    </row>
    <row r="199" spans="1:15" x14ac:dyDescent="0.25">
      <c r="A199" t="s">
        <v>7</v>
      </c>
      <c r="B199" s="2">
        <v>6</v>
      </c>
      <c r="C199">
        <v>179</v>
      </c>
      <c r="E199">
        <v>176</v>
      </c>
      <c r="G199">
        <f t="shared" si="19"/>
        <v>98.324022346368707</v>
      </c>
    </row>
    <row r="200" spans="1:15" x14ac:dyDescent="0.25">
      <c r="A200" t="s">
        <v>7</v>
      </c>
      <c r="B200" s="2">
        <v>6</v>
      </c>
      <c r="C200" s="4">
        <v>0</v>
      </c>
    </row>
    <row r="201" spans="1:15" x14ac:dyDescent="0.25">
      <c r="A201" t="s">
        <v>7</v>
      </c>
      <c r="B201" s="2">
        <v>6</v>
      </c>
      <c r="C201" s="4">
        <v>0</v>
      </c>
    </row>
    <row r="202" spans="1:15" x14ac:dyDescent="0.25">
      <c r="A202" t="s">
        <v>7</v>
      </c>
      <c r="B202" s="2">
        <v>6</v>
      </c>
      <c r="C202" s="4">
        <v>0</v>
      </c>
    </row>
    <row r="203" spans="1:15" x14ac:dyDescent="0.25">
      <c r="A203" t="s">
        <v>7</v>
      </c>
      <c r="B203" s="2">
        <v>6</v>
      </c>
      <c r="C203">
        <v>182</v>
      </c>
      <c r="E203">
        <v>174</v>
      </c>
      <c r="G203">
        <f t="shared" si="19"/>
        <v>95.604395604395606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61B5-D119-41DD-8AC4-75AC5E995B9B}">
  <dimension ref="C1:I7"/>
  <sheetViews>
    <sheetView tabSelected="1" workbookViewId="0">
      <selection activeCell="K11" sqref="K11"/>
    </sheetView>
  </sheetViews>
  <sheetFormatPr defaultRowHeight="15" x14ac:dyDescent="0.25"/>
  <cols>
    <col min="3" max="3" width="13.7109375" bestFit="1" customWidth="1"/>
    <col min="4" max="4" width="8.5703125" bestFit="1" customWidth="1"/>
    <col min="5" max="5" width="10.42578125" bestFit="1" customWidth="1"/>
    <col min="6" max="6" width="12.7109375" bestFit="1" customWidth="1"/>
    <col min="7" max="7" width="18.7109375" bestFit="1" customWidth="1"/>
  </cols>
  <sheetData>
    <row r="1" spans="3:9" x14ac:dyDescent="0.25">
      <c r="D1" t="s">
        <v>21</v>
      </c>
      <c r="E1" t="s">
        <v>23</v>
      </c>
      <c r="F1" t="s">
        <v>24</v>
      </c>
      <c r="G1" t="s">
        <v>22</v>
      </c>
    </row>
    <row r="2" spans="3:9" x14ac:dyDescent="0.25">
      <c r="C2" t="s">
        <v>15</v>
      </c>
      <c r="D2">
        <f>AVERAGE('Input data'!C2:C42)</f>
        <v>106.63414634146342</v>
      </c>
      <c r="E2">
        <f>AVERAGE('Input data'!E2:E42)</f>
        <v>93.764705882352942</v>
      </c>
      <c r="F2">
        <f>E2/D2*100</f>
        <v>87.931220063505734</v>
      </c>
    </row>
    <row r="3" spans="3:9" x14ac:dyDescent="0.25">
      <c r="C3" t="s">
        <v>16</v>
      </c>
      <c r="D3">
        <f>AVERAGE('Input data'!C82:C116)</f>
        <v>67.685714285714283</v>
      </c>
      <c r="E3">
        <f>AVERAGE('Input data'!E82:E116)</f>
        <v>56.548387096774192</v>
      </c>
      <c r="F3">
        <f t="shared" ref="F3:F7" si="0">E3/D3*100</f>
        <v>83.545527580713241</v>
      </c>
      <c r="G3" s="5">
        <f>D3/D2</f>
        <v>0.63474709188341383</v>
      </c>
      <c r="H3">
        <f>E3/E2</f>
        <v>0.60308819362933574</v>
      </c>
      <c r="I3">
        <f>F3/F2</f>
        <v>0.95012360251995753</v>
      </c>
    </row>
    <row r="4" spans="3:9" x14ac:dyDescent="0.25">
      <c r="C4" t="s">
        <v>17</v>
      </c>
      <c r="D4">
        <f>AVERAGE('Input data'!C160:C203)</f>
        <v>20.863636363636363</v>
      </c>
      <c r="E4">
        <f>AVERAGE('Input data'!E160:E203)</f>
        <v>23.115384615384617</v>
      </c>
      <c r="F4">
        <f t="shared" si="0"/>
        <v>110.79269314563433</v>
      </c>
      <c r="G4" s="5">
        <f>D4/D2</f>
        <v>0.19565624220244529</v>
      </c>
      <c r="H4">
        <f>E4/E2</f>
        <v>0.24652543190811699</v>
      </c>
      <c r="I4">
        <f>F4/F2</f>
        <v>1.2599926745656158</v>
      </c>
    </row>
    <row r="5" spans="3:9" x14ac:dyDescent="0.25">
      <c r="C5" t="s">
        <v>18</v>
      </c>
      <c r="D5">
        <f>AVERAGE('Input data'!C43:C81)</f>
        <v>93.435897435897431</v>
      </c>
      <c r="E5">
        <f>AVERAGE('Input data'!E43:E81)</f>
        <v>86.354838709677423</v>
      </c>
      <c r="F5">
        <f t="shared" si="0"/>
        <v>92.421479409369368</v>
      </c>
    </row>
    <row r="6" spans="3:9" x14ac:dyDescent="0.25">
      <c r="C6" t="s">
        <v>19</v>
      </c>
      <c r="D6">
        <f>AVERAGE('Input data'!C117:C159)</f>
        <v>45.488372093023258</v>
      </c>
      <c r="E6">
        <f>AVERAGE('Input data'!E117:E159)</f>
        <v>15.342857142857143</v>
      </c>
      <c r="F6">
        <f t="shared" si="0"/>
        <v>33.729184925503944</v>
      </c>
      <c r="G6" s="5">
        <f>D6/D5</f>
        <v>0.48684042580348713</v>
      </c>
      <c r="H6">
        <f>E6/E5</f>
        <v>0.17767223437750146</v>
      </c>
      <c r="I6">
        <f>F6/F5</f>
        <v>0.36494963228304045</v>
      </c>
    </row>
    <row r="7" spans="3:9" x14ac:dyDescent="0.25">
      <c r="C7" t="s">
        <v>20</v>
      </c>
      <c r="D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Data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edwards</dc:creator>
  <cp:lastModifiedBy>Mireia Larrosa Godall</cp:lastModifiedBy>
  <dcterms:created xsi:type="dcterms:W3CDTF">2021-03-10T14:49:15Z</dcterms:created>
  <dcterms:modified xsi:type="dcterms:W3CDTF">2022-02-09T13:21:13Z</dcterms:modified>
</cp:coreProperties>
</file>